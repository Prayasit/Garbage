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ya\OneDrive\Desktop\mock_assesment\"/>
    </mc:Choice>
  </mc:AlternateContent>
  <xr:revisionPtr revIDLastSave="0" documentId="13_ncr:1_{E843092B-BFED-443D-9F22-905DC6FC10F4}" xr6:coauthVersionLast="47" xr6:coauthVersionMax="47" xr10:uidLastSave="{00000000-0000-0000-0000-000000000000}"/>
  <bookViews>
    <workbookView xWindow="-108" yWindow="-108" windowWidth="23256" windowHeight="12456" activeTab="1" xr2:uid="{CD2CC495-5487-4B4F-9BCB-18E5E5D776F1}"/>
  </bookViews>
  <sheets>
    <sheet name="Employee_Attendance_Tracking" sheetId="1" r:id="rId1"/>
    <sheet name="performed" sheetId="2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2" i="2"/>
</calcChain>
</file>

<file path=xl/sharedStrings.xml><?xml version="1.0" encoding="utf-8"?>
<sst xmlns="http://schemas.openxmlformats.org/spreadsheetml/2006/main" count="381" uniqueCount="60">
  <si>
    <t>Employee Name</t>
  </si>
  <si>
    <t>Date</t>
  </si>
  <si>
    <t>Status</t>
  </si>
  <si>
    <t>Department</t>
  </si>
  <si>
    <t>Location</t>
  </si>
  <si>
    <t>Shift</t>
  </si>
  <si>
    <t>Manager</t>
  </si>
  <si>
    <t>Overtime Hours</t>
  </si>
  <si>
    <t>Rajesh Kumar</t>
  </si>
  <si>
    <t>Present</t>
  </si>
  <si>
    <t>Sales</t>
  </si>
  <si>
    <t>Delhi</t>
  </si>
  <si>
    <t>Morning</t>
  </si>
  <si>
    <t>Amit</t>
  </si>
  <si>
    <t>Neha Sharma</t>
  </si>
  <si>
    <t>Absent</t>
  </si>
  <si>
    <t>HR</t>
  </si>
  <si>
    <t>Mumbai</t>
  </si>
  <si>
    <t>Evening</t>
  </si>
  <si>
    <t>Priya</t>
  </si>
  <si>
    <t>Arun Patel</t>
  </si>
  <si>
    <t>Finance</t>
  </si>
  <si>
    <t>Bangalore</t>
  </si>
  <si>
    <t>Ravi</t>
  </si>
  <si>
    <t>Priya Verma</t>
  </si>
  <si>
    <t>IT</t>
  </si>
  <si>
    <t>Chennai</t>
  </si>
  <si>
    <t>Night</t>
  </si>
  <si>
    <t>Mohit</t>
  </si>
  <si>
    <t>Anil Mehta</t>
  </si>
  <si>
    <t>Neha</t>
  </si>
  <si>
    <t>Aarti Desai</t>
  </si>
  <si>
    <t>Rahul Reddy</t>
  </si>
  <si>
    <t>Suman Gupta</t>
  </si>
  <si>
    <t>Vijay Rao</t>
  </si>
  <si>
    <t>Kiran Patel</t>
  </si>
  <si>
    <t>Meera Shah</t>
  </si>
  <si>
    <t>Sunil Chawla</t>
  </si>
  <si>
    <t>Manoj Kumar</t>
  </si>
  <si>
    <t>Sneha Nair</t>
  </si>
  <si>
    <t>Ramesh Yadav</t>
  </si>
  <si>
    <t>Sonali Gupta</t>
  </si>
  <si>
    <t>Deepak Sharma</t>
  </si>
  <si>
    <t>Sushma Patel</t>
  </si>
  <si>
    <t>Rajni Mehta</t>
  </si>
  <si>
    <t>Amit Rawat</t>
  </si>
  <si>
    <t>Geeta Singh</t>
  </si>
  <si>
    <t>Rajesh Sharma</t>
  </si>
  <si>
    <t>Mohit Kumar</t>
  </si>
  <si>
    <t>Neelam Gupta</t>
  </si>
  <si>
    <t>Nisha Rao</t>
  </si>
  <si>
    <t>Sunita Desai</t>
  </si>
  <si>
    <t>Pankaj Yadav</t>
  </si>
  <si>
    <t>Snehal Verma</t>
  </si>
  <si>
    <t>Rani Kapoor</t>
  </si>
  <si>
    <t>Network days</t>
  </si>
  <si>
    <t xml:space="preserve">Employee name </t>
  </si>
  <si>
    <t>Row Labels</t>
  </si>
  <si>
    <t>Grand Total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</si>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</sst>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1"/>
    <xf numFmtId="0" fontId="2" fillId="3" borderId="3" xfId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NumberFormat="1" applyFont="1" applyFill="1"/>
  </cellXfs>
  <cellStyles count="2">
    <cellStyle name="Good" xfId="1" builtinId="2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yas" refreshedDate="46123.690941550929" createdVersion="8" refreshedVersion="8" minRefreshableVersion="3" recordCount="29" xr:uid="{2F3991BD-F896-4B28-B0D1-B0FE82BDC0F4}">
  <cacheSource type="worksheet">
    <worksheetSource ref="A1:I30" sheet="performed"/>
  </cacheSource>
  <cacheFields count="9">
    <cacheField name="Employee Name" numFmtId="0">
      <sharedItems count="29">
        <s v="Rajesh Kumar"/>
        <s v="Neha Sharma"/>
        <s v="Arun Patel"/>
        <s v="Priya Verma"/>
        <s v="Anil Mehta"/>
        <s v="Aarti Desai"/>
        <s v="Rahul Reddy"/>
        <s v="Suman Gupta"/>
        <s v="Vijay Rao"/>
        <s v="Kiran Patel"/>
        <s v="Meera Shah"/>
        <s v="Sunil Chawla"/>
        <s v="Manoj Kumar"/>
        <s v="Sneha Nair"/>
        <s v="Ramesh Yadav"/>
        <s v="Sonali Gupta"/>
        <s v="Deepak Sharma"/>
        <s v="Sushma Patel"/>
        <s v="Rajni Mehta"/>
        <s v="Amit Rawat"/>
        <s v="Geeta Singh"/>
        <s v="Rajesh Sharma"/>
        <s v="Mohit Kumar"/>
        <s v="Neelam Gupta"/>
        <s v="Nisha Rao"/>
        <s v="Sunita Desai"/>
        <s v="Pankaj Yadav"/>
        <s v="Snehal Verma"/>
        <s v="Rani Kapoor"/>
      </sharedItems>
    </cacheField>
    <cacheField name="Date" numFmtId="14">
      <sharedItems containsSemiMixedTypes="0" containsNonDate="0" containsDate="1" containsString="0" minDate="2024-08-01T00:00:00" maxDate="2024-08-16T00:00:00"/>
    </cacheField>
    <cacheField name="Status" numFmtId="0">
      <sharedItems count="2">
        <s v="Present"/>
        <s v="Absent"/>
      </sharedItems>
    </cacheField>
    <cacheField name="Department" numFmtId="0">
      <sharedItems/>
    </cacheField>
    <cacheField name="Location" numFmtId="0">
      <sharedItems/>
    </cacheField>
    <cacheField name="Shift" numFmtId="0">
      <sharedItems/>
    </cacheField>
    <cacheField name="Manager" numFmtId="0">
      <sharedItems/>
    </cacheField>
    <cacheField name="Overtime Hours" numFmtId="0">
      <sharedItems containsSemiMixedTypes="0" containsString="0" containsNumber="1" containsInteger="1" minValue="0" maxValue="3"/>
    </cacheField>
    <cacheField name="Network days" numFmtId="0">
      <sharedItems containsSemiMixedTypes="0" containsString="0" containsNumber="1" containsInteger="1" minValue="432" maxValue="4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d v="2024-08-01T00:00:00"/>
    <x v="0"/>
    <s v="Sales"/>
    <s v="Delhi"/>
    <s v="Morning"/>
    <s v="Amit"/>
    <n v="2"/>
    <n v="442"/>
  </r>
  <r>
    <x v="1"/>
    <d v="2024-08-01T00:00:00"/>
    <x v="1"/>
    <s v="HR"/>
    <s v="Mumbai"/>
    <s v="Evening"/>
    <s v="Priya"/>
    <n v="0"/>
    <n v="442"/>
  </r>
  <r>
    <x v="2"/>
    <d v="2024-08-02T00:00:00"/>
    <x v="0"/>
    <s v="Finance"/>
    <s v="Bangalore"/>
    <s v="Morning"/>
    <s v="Ravi"/>
    <n v="1"/>
    <n v="441"/>
  </r>
  <r>
    <x v="3"/>
    <d v="2024-08-02T00:00:00"/>
    <x v="0"/>
    <s v="IT"/>
    <s v="Chennai"/>
    <s v="Night"/>
    <s v="Mohit"/>
    <n v="0"/>
    <n v="441"/>
  </r>
  <r>
    <x v="4"/>
    <d v="2024-08-03T00:00:00"/>
    <x v="1"/>
    <s v="HR"/>
    <s v="Delhi"/>
    <s v="Morning"/>
    <s v="Neha"/>
    <n v="0"/>
    <n v="440"/>
  </r>
  <r>
    <x v="5"/>
    <d v="2024-08-03T00:00:00"/>
    <x v="0"/>
    <s v="Sales"/>
    <s v="Mumbai"/>
    <s v="Evening"/>
    <s v="Priya"/>
    <n v="3"/>
    <n v="440"/>
  </r>
  <r>
    <x v="6"/>
    <d v="2024-08-04T00:00:00"/>
    <x v="0"/>
    <s v="Finance"/>
    <s v="Bangalore"/>
    <s v="Morning"/>
    <s v="Ravi"/>
    <n v="1"/>
    <n v="440"/>
  </r>
  <r>
    <x v="7"/>
    <d v="2024-08-04T00:00:00"/>
    <x v="0"/>
    <s v="IT"/>
    <s v="Chennai"/>
    <s v="Night"/>
    <s v="Mohit"/>
    <n v="2"/>
    <n v="440"/>
  </r>
  <r>
    <x v="8"/>
    <d v="2024-08-05T00:00:00"/>
    <x v="1"/>
    <s v="Sales"/>
    <s v="Delhi"/>
    <s v="Morning"/>
    <s v="Amit"/>
    <n v="0"/>
    <n v="440"/>
  </r>
  <r>
    <x v="9"/>
    <d v="2024-08-05T00:00:00"/>
    <x v="0"/>
    <s v="HR"/>
    <s v="Mumbai"/>
    <s v="Evening"/>
    <s v="Priya"/>
    <n v="0"/>
    <n v="440"/>
  </r>
  <r>
    <x v="10"/>
    <d v="2024-08-06T00:00:00"/>
    <x v="0"/>
    <s v="Finance"/>
    <s v="Bangalore"/>
    <s v="Morning"/>
    <s v="Ravi"/>
    <n v="2"/>
    <n v="439"/>
  </r>
  <r>
    <x v="11"/>
    <d v="2024-08-06T00:00:00"/>
    <x v="1"/>
    <s v="IT"/>
    <s v="Chennai"/>
    <s v="Night"/>
    <s v="Mohit"/>
    <n v="0"/>
    <n v="439"/>
  </r>
  <r>
    <x v="12"/>
    <d v="2024-08-07T00:00:00"/>
    <x v="0"/>
    <s v="Sales"/>
    <s v="Delhi"/>
    <s v="Morning"/>
    <s v="Amit"/>
    <n v="1"/>
    <n v="438"/>
  </r>
  <r>
    <x v="13"/>
    <d v="2024-08-07T00:00:00"/>
    <x v="0"/>
    <s v="HR"/>
    <s v="Mumbai"/>
    <s v="Evening"/>
    <s v="Priya"/>
    <n v="2"/>
    <n v="438"/>
  </r>
  <r>
    <x v="14"/>
    <d v="2024-08-08T00:00:00"/>
    <x v="1"/>
    <s v="Finance"/>
    <s v="Bangalore"/>
    <s v="Morning"/>
    <s v="Ravi"/>
    <n v="0"/>
    <n v="437"/>
  </r>
  <r>
    <x v="15"/>
    <d v="2024-08-08T00:00:00"/>
    <x v="0"/>
    <s v="IT"/>
    <s v="Chennai"/>
    <s v="Night"/>
    <s v="Mohit"/>
    <n v="3"/>
    <n v="437"/>
  </r>
  <r>
    <x v="16"/>
    <d v="2024-08-09T00:00:00"/>
    <x v="0"/>
    <s v="Sales"/>
    <s v="Delhi"/>
    <s v="Morning"/>
    <s v="Amit"/>
    <n v="0"/>
    <n v="436"/>
  </r>
  <r>
    <x v="17"/>
    <d v="2024-08-09T00:00:00"/>
    <x v="1"/>
    <s v="HR"/>
    <s v="Mumbai"/>
    <s v="Evening"/>
    <s v="Priya"/>
    <n v="0"/>
    <n v="436"/>
  </r>
  <r>
    <x v="18"/>
    <d v="2024-08-10T00:00:00"/>
    <x v="0"/>
    <s v="Finance"/>
    <s v="Bangalore"/>
    <s v="Morning"/>
    <s v="Ravi"/>
    <n v="1"/>
    <n v="435"/>
  </r>
  <r>
    <x v="19"/>
    <d v="2024-08-10T00:00:00"/>
    <x v="0"/>
    <s v="IT"/>
    <s v="Chennai"/>
    <s v="Night"/>
    <s v="Mohit"/>
    <n v="2"/>
    <n v="435"/>
  </r>
  <r>
    <x v="20"/>
    <d v="2024-08-11T00:00:00"/>
    <x v="1"/>
    <s v="Sales"/>
    <s v="Delhi"/>
    <s v="Morning"/>
    <s v="Amit"/>
    <n v="0"/>
    <n v="435"/>
  </r>
  <r>
    <x v="21"/>
    <d v="2024-08-11T00:00:00"/>
    <x v="0"/>
    <s v="HR"/>
    <s v="Mumbai"/>
    <s v="Evening"/>
    <s v="Priya"/>
    <n v="1"/>
    <n v="435"/>
  </r>
  <r>
    <x v="22"/>
    <d v="2024-08-12T00:00:00"/>
    <x v="0"/>
    <s v="Finance"/>
    <s v="Bangalore"/>
    <s v="Morning"/>
    <s v="Ravi"/>
    <n v="3"/>
    <n v="435"/>
  </r>
  <r>
    <x v="23"/>
    <d v="2024-08-12T00:00:00"/>
    <x v="1"/>
    <s v="IT"/>
    <s v="Chennai"/>
    <s v="Night"/>
    <s v="Mohit"/>
    <n v="0"/>
    <n v="435"/>
  </r>
  <r>
    <x v="24"/>
    <d v="2024-08-13T00:00:00"/>
    <x v="0"/>
    <s v="Sales"/>
    <s v="Delhi"/>
    <s v="Morning"/>
    <s v="Amit"/>
    <n v="2"/>
    <n v="434"/>
  </r>
  <r>
    <x v="25"/>
    <d v="2024-08-13T00:00:00"/>
    <x v="0"/>
    <s v="HR"/>
    <s v="Mumbai"/>
    <s v="Evening"/>
    <s v="Priya"/>
    <n v="1"/>
    <n v="434"/>
  </r>
  <r>
    <x v="26"/>
    <d v="2024-08-14T00:00:00"/>
    <x v="1"/>
    <s v="Finance"/>
    <s v="Bangalore"/>
    <s v="Morning"/>
    <s v="Ravi"/>
    <n v="0"/>
    <n v="433"/>
  </r>
  <r>
    <x v="27"/>
    <d v="2024-08-14T00:00:00"/>
    <x v="0"/>
    <s v="IT"/>
    <s v="Chennai"/>
    <s v="Night"/>
    <s v="Mohit"/>
    <n v="2"/>
    <n v="433"/>
  </r>
  <r>
    <x v="28"/>
    <d v="2024-08-15T00:00:00"/>
    <x v="0"/>
    <s v="Sales"/>
    <s v="Delhi"/>
    <s v="Morning"/>
    <s v="Amit"/>
    <n v="1"/>
    <n v="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1FE75-3686-43FB-91AC-C169944236C0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15" firstHeaderRow="1" firstDataRow="1" firstDataCol="1" rowPageCount="1" colPageCount="1"/>
  <pivotFields count="9">
    <pivotField axis="axisRow" showAll="0">
      <items count="30">
        <item x="5"/>
        <item x="19"/>
        <item x="4"/>
        <item x="2"/>
        <item x="16"/>
        <item x="20"/>
        <item x="9"/>
        <item x="12"/>
        <item x="10"/>
        <item x="22"/>
        <item x="23"/>
        <item x="1"/>
        <item x="24"/>
        <item x="26"/>
        <item x="3"/>
        <item x="6"/>
        <item x="0"/>
        <item x="21"/>
        <item x="18"/>
        <item x="14"/>
        <item x="28"/>
        <item x="13"/>
        <item x="27"/>
        <item x="15"/>
        <item x="7"/>
        <item x="11"/>
        <item x="25"/>
        <item x="17"/>
        <item x="8"/>
        <item t="default"/>
      </items>
    </pivotField>
    <pivotField numFmtId="14"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2"/>
    </i>
    <i>
      <x v="5"/>
    </i>
    <i>
      <x v="10"/>
    </i>
    <i>
      <x v="11"/>
    </i>
    <i>
      <x v="13"/>
    </i>
    <i>
      <x v="19"/>
    </i>
    <i>
      <x v="25"/>
    </i>
    <i>
      <x v="27"/>
    </i>
    <i>
      <x v="28"/>
    </i>
    <i t="grand">
      <x/>
    </i>
  </rowItems>
  <colItems count="1">
    <i/>
  </colItems>
  <pageFields count="1">
    <pageField fld="2" item="0" hier="-1"/>
  </pageFields>
  <dataFields count="1">
    <dataField name="Count of Status" fld="2" subtotal="count" baseField="0" baseItem="0"/>
  </dataFields>
  <formats count="4"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CF96-168B-4039-89A5-FC2A36C3E241}">
  <dimension ref="A1:J30"/>
  <sheetViews>
    <sheetView workbookViewId="0">
      <selection activeCell="J2" sqref="J2"/>
    </sheetView>
  </sheetViews>
  <sheetFormatPr defaultRowHeight="14.4" x14ac:dyDescent="0.3"/>
  <cols>
    <col min="1" max="1" width="17.109375" customWidth="1"/>
    <col min="2" max="2" width="12.21875" customWidth="1"/>
    <col min="3" max="3" width="18" customWidth="1"/>
    <col min="4" max="4" width="22.77734375" customWidth="1"/>
    <col min="5" max="5" width="16" customWidth="1"/>
    <col min="6" max="6" width="16.88671875" customWidth="1"/>
    <col min="7" max="7" width="9.21875" customWidth="1"/>
    <col min="8" max="8" width="12.21875" customWidth="1"/>
  </cols>
  <sheetData>
    <row r="1" spans="1:10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/>
    </row>
    <row r="2" spans="1:10" x14ac:dyDescent="0.3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  <c r="J2" s="4"/>
    </row>
    <row r="3" spans="1:10" x14ac:dyDescent="0.3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</row>
    <row r="4" spans="1:10" x14ac:dyDescent="0.3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</row>
    <row r="5" spans="1:10" x14ac:dyDescent="0.3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</row>
    <row r="6" spans="1:10" x14ac:dyDescent="0.3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</row>
    <row r="7" spans="1:10" x14ac:dyDescent="0.3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</row>
    <row r="8" spans="1:10" x14ac:dyDescent="0.3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</row>
    <row r="9" spans="1:10" x14ac:dyDescent="0.3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</row>
    <row r="10" spans="1:10" x14ac:dyDescent="0.3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</row>
    <row r="11" spans="1:10" x14ac:dyDescent="0.3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</row>
    <row r="12" spans="1:10" x14ac:dyDescent="0.3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</row>
    <row r="13" spans="1:10" x14ac:dyDescent="0.3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</row>
    <row r="14" spans="1:10" x14ac:dyDescent="0.3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</row>
    <row r="15" spans="1:10" x14ac:dyDescent="0.3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</row>
    <row r="16" spans="1:10" x14ac:dyDescent="0.3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</row>
    <row r="17" spans="1:8" x14ac:dyDescent="0.3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</row>
    <row r="18" spans="1:8" x14ac:dyDescent="0.3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</row>
    <row r="19" spans="1:8" x14ac:dyDescent="0.3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</row>
    <row r="20" spans="1:8" x14ac:dyDescent="0.3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</row>
    <row r="21" spans="1:8" x14ac:dyDescent="0.3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</row>
    <row r="22" spans="1:8" x14ac:dyDescent="0.3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</row>
    <row r="23" spans="1:8" x14ac:dyDescent="0.3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</row>
    <row r="24" spans="1:8" x14ac:dyDescent="0.3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</row>
    <row r="25" spans="1:8" x14ac:dyDescent="0.3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</row>
    <row r="26" spans="1:8" x14ac:dyDescent="0.3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</row>
    <row r="27" spans="1:8" x14ac:dyDescent="0.3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</row>
    <row r="28" spans="1:8" x14ac:dyDescent="0.3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</row>
    <row r="29" spans="1:8" x14ac:dyDescent="0.3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</row>
    <row r="30" spans="1:8" x14ac:dyDescent="0.3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</row>
  </sheetData>
  <dataValidations count="1">
    <dataValidation type="list" allowBlank="1" showInputMessage="1" showErrorMessage="1" sqref="M2" xr:uid="{17550982-462F-4896-AA5B-F8F97EAA8C5B}">
      <formula1>$C$2:$C$3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10AC-A1BA-4733-A75F-6E06285C2F5D}">
  <dimension ref="A1:N30"/>
  <sheetViews>
    <sheetView tabSelected="1" workbookViewId="0">
      <selection activeCell="O20" sqref="O20"/>
    </sheetView>
  </sheetViews>
  <sheetFormatPr defaultRowHeight="14.4" x14ac:dyDescent="0.3"/>
  <cols>
    <col min="1" max="1" width="8.21875" bestFit="1" customWidth="1"/>
    <col min="2" max="2" width="10.33203125" bestFit="1" customWidth="1"/>
    <col min="3" max="3" width="7.21875" bestFit="1" customWidth="1"/>
    <col min="4" max="4" width="14.88671875" customWidth="1"/>
    <col min="5" max="5" width="8.109375" bestFit="1" customWidth="1"/>
    <col min="6" max="6" width="7.44140625" bestFit="1" customWidth="1"/>
    <col min="7" max="7" width="8" bestFit="1" customWidth="1"/>
    <col min="8" max="8" width="8.77734375" bestFit="1" customWidth="1"/>
    <col min="9" max="9" width="8" bestFit="1" customWidth="1"/>
    <col min="12" max="12" width="12.6640625" bestFit="1" customWidth="1"/>
    <col min="13" max="13" width="13.5546875" bestFit="1" customWidth="1"/>
  </cols>
  <sheetData>
    <row r="1" spans="1:13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55</v>
      </c>
    </row>
    <row r="2" spans="1:13" ht="28.8" x14ac:dyDescent="0.3">
      <c r="A2" s="1" t="s">
        <v>8</v>
      </c>
      <c r="B2" s="2">
        <v>45505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</v>
      </c>
      <c r="I2">
        <f ca="1">NETWORKDAYS(B2,TODAY())</f>
        <v>442</v>
      </c>
    </row>
    <row r="3" spans="1:13" ht="28.8" x14ac:dyDescent="0.3">
      <c r="A3" s="1" t="s">
        <v>14</v>
      </c>
      <c r="B3" s="2">
        <v>45505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0</v>
      </c>
      <c r="I3">
        <f t="shared" ref="I3:I30" ca="1" si="0">NETWORKDAYS(B3,TODAY())</f>
        <v>442</v>
      </c>
      <c r="L3" s="10" t="s">
        <v>2</v>
      </c>
      <c r="M3" s="10" t="s">
        <v>15</v>
      </c>
    </row>
    <row r="4" spans="1:13" ht="28.8" x14ac:dyDescent="0.3">
      <c r="A4" s="1" t="s">
        <v>20</v>
      </c>
      <c r="B4" s="2">
        <v>45506</v>
      </c>
      <c r="C4" s="1" t="s">
        <v>9</v>
      </c>
      <c r="D4" s="1" t="s">
        <v>21</v>
      </c>
      <c r="E4" s="1" t="s">
        <v>22</v>
      </c>
      <c r="F4" s="1" t="s">
        <v>12</v>
      </c>
      <c r="G4" s="1" t="s">
        <v>23</v>
      </c>
      <c r="H4" s="1">
        <v>1</v>
      </c>
      <c r="I4">
        <f t="shared" ca="1" si="0"/>
        <v>441</v>
      </c>
    </row>
    <row r="5" spans="1:13" ht="28.8" x14ac:dyDescent="0.3">
      <c r="A5" s="1" t="s">
        <v>24</v>
      </c>
      <c r="B5" s="2">
        <v>45506</v>
      </c>
      <c r="C5" s="1" t="s">
        <v>9</v>
      </c>
      <c r="D5" s="1" t="s">
        <v>25</v>
      </c>
      <c r="E5" s="1" t="s">
        <v>26</v>
      </c>
      <c r="F5" s="1" t="s">
        <v>27</v>
      </c>
      <c r="G5" s="1" t="s">
        <v>28</v>
      </c>
      <c r="H5" s="1">
        <v>0</v>
      </c>
      <c r="I5">
        <f t="shared" ca="1" si="0"/>
        <v>441</v>
      </c>
      <c r="L5" s="10" t="s">
        <v>57</v>
      </c>
      <c r="M5" s="10" t="s">
        <v>59</v>
      </c>
    </row>
    <row r="6" spans="1:13" ht="28.8" x14ac:dyDescent="0.3">
      <c r="A6" s="1" t="s">
        <v>29</v>
      </c>
      <c r="B6" s="2">
        <v>45507</v>
      </c>
      <c r="C6" s="1" t="s">
        <v>15</v>
      </c>
      <c r="D6" s="1" t="s">
        <v>16</v>
      </c>
      <c r="E6" s="1" t="s">
        <v>11</v>
      </c>
      <c r="F6" s="1" t="s">
        <v>12</v>
      </c>
      <c r="G6" s="1" t="s">
        <v>30</v>
      </c>
      <c r="H6" s="1">
        <v>0</v>
      </c>
      <c r="I6">
        <f t="shared" ca="1" si="0"/>
        <v>440</v>
      </c>
      <c r="L6" s="8" t="s">
        <v>29</v>
      </c>
      <c r="M6" s="9">
        <v>1</v>
      </c>
    </row>
    <row r="7" spans="1:13" ht="28.8" x14ac:dyDescent="0.3">
      <c r="A7" s="1" t="s">
        <v>31</v>
      </c>
      <c r="B7" s="2">
        <v>45507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19</v>
      </c>
      <c r="H7" s="1">
        <v>3</v>
      </c>
      <c r="I7">
        <f t="shared" ca="1" si="0"/>
        <v>440</v>
      </c>
      <c r="L7" s="8" t="s">
        <v>46</v>
      </c>
      <c r="M7" s="9">
        <v>1</v>
      </c>
    </row>
    <row r="8" spans="1:13" ht="28.8" x14ac:dyDescent="0.3">
      <c r="A8" s="1" t="s">
        <v>32</v>
      </c>
      <c r="B8" s="2">
        <v>45508</v>
      </c>
      <c r="C8" s="1" t="s">
        <v>9</v>
      </c>
      <c r="D8" s="1" t="s">
        <v>21</v>
      </c>
      <c r="E8" s="1" t="s">
        <v>22</v>
      </c>
      <c r="F8" s="1" t="s">
        <v>12</v>
      </c>
      <c r="G8" s="1" t="s">
        <v>23</v>
      </c>
      <c r="H8" s="1">
        <v>1</v>
      </c>
      <c r="I8">
        <f t="shared" ca="1" si="0"/>
        <v>440</v>
      </c>
      <c r="L8" s="8" t="s">
        <v>49</v>
      </c>
      <c r="M8" s="9">
        <v>1</v>
      </c>
    </row>
    <row r="9" spans="1:13" ht="28.8" x14ac:dyDescent="0.3">
      <c r="A9" s="1" t="s">
        <v>33</v>
      </c>
      <c r="B9" s="2">
        <v>45508</v>
      </c>
      <c r="C9" s="1" t="s">
        <v>9</v>
      </c>
      <c r="D9" s="1" t="s">
        <v>25</v>
      </c>
      <c r="E9" s="1" t="s">
        <v>26</v>
      </c>
      <c r="F9" s="1" t="s">
        <v>27</v>
      </c>
      <c r="G9" s="1" t="s">
        <v>28</v>
      </c>
      <c r="H9" s="1">
        <v>2</v>
      </c>
      <c r="I9">
        <f t="shared" ca="1" si="0"/>
        <v>440</v>
      </c>
      <c r="L9" s="8" t="s">
        <v>14</v>
      </c>
      <c r="M9" s="9">
        <v>1</v>
      </c>
    </row>
    <row r="10" spans="1:13" x14ac:dyDescent="0.3">
      <c r="A10" s="1" t="s">
        <v>34</v>
      </c>
      <c r="B10" s="2">
        <v>45509</v>
      </c>
      <c r="C10" s="1" t="s">
        <v>15</v>
      </c>
      <c r="D10" s="1" t="s">
        <v>10</v>
      </c>
      <c r="E10" s="1" t="s">
        <v>11</v>
      </c>
      <c r="F10" s="1" t="s">
        <v>12</v>
      </c>
      <c r="G10" s="1" t="s">
        <v>13</v>
      </c>
      <c r="H10" s="1">
        <v>0</v>
      </c>
      <c r="I10">
        <f t="shared" ca="1" si="0"/>
        <v>440</v>
      </c>
      <c r="L10" s="8" t="s">
        <v>52</v>
      </c>
      <c r="M10" s="9">
        <v>1</v>
      </c>
    </row>
    <row r="11" spans="1:13" ht="28.8" x14ac:dyDescent="0.3">
      <c r="A11" s="1" t="s">
        <v>35</v>
      </c>
      <c r="B11" s="2">
        <v>45509</v>
      </c>
      <c r="C11" s="1" t="s">
        <v>9</v>
      </c>
      <c r="D11" s="1" t="s">
        <v>16</v>
      </c>
      <c r="E11" s="1" t="s">
        <v>17</v>
      </c>
      <c r="F11" s="1" t="s">
        <v>18</v>
      </c>
      <c r="G11" s="1" t="s">
        <v>19</v>
      </c>
      <c r="H11" s="1">
        <v>0</v>
      </c>
      <c r="I11">
        <f t="shared" ca="1" si="0"/>
        <v>440</v>
      </c>
      <c r="L11" s="8" t="s">
        <v>40</v>
      </c>
      <c r="M11" s="9">
        <v>1</v>
      </c>
    </row>
    <row r="12" spans="1:13" ht="28.8" x14ac:dyDescent="0.3">
      <c r="A12" s="1" t="s">
        <v>36</v>
      </c>
      <c r="B12" s="2">
        <v>45510</v>
      </c>
      <c r="C12" s="1" t="s">
        <v>9</v>
      </c>
      <c r="D12" s="1" t="s">
        <v>21</v>
      </c>
      <c r="E12" s="1" t="s">
        <v>22</v>
      </c>
      <c r="F12" s="1" t="s">
        <v>12</v>
      </c>
      <c r="G12" s="1" t="s">
        <v>23</v>
      </c>
      <c r="H12" s="1">
        <v>2</v>
      </c>
      <c r="I12">
        <f t="shared" ca="1" si="0"/>
        <v>439</v>
      </c>
      <c r="L12" s="8" t="s">
        <v>37</v>
      </c>
      <c r="M12" s="9">
        <v>1</v>
      </c>
    </row>
    <row r="13" spans="1:13" ht="28.8" x14ac:dyDescent="0.3">
      <c r="A13" s="1" t="s">
        <v>37</v>
      </c>
      <c r="B13" s="2">
        <v>45510</v>
      </c>
      <c r="C13" s="1" t="s">
        <v>15</v>
      </c>
      <c r="D13" s="1" t="s">
        <v>25</v>
      </c>
      <c r="E13" s="1" t="s">
        <v>26</v>
      </c>
      <c r="F13" s="1" t="s">
        <v>27</v>
      </c>
      <c r="G13" s="1" t="s">
        <v>28</v>
      </c>
      <c r="H13" s="1">
        <v>0</v>
      </c>
      <c r="I13">
        <f t="shared" ca="1" si="0"/>
        <v>439</v>
      </c>
      <c r="L13" s="8" t="s">
        <v>43</v>
      </c>
      <c r="M13" s="9">
        <v>1</v>
      </c>
    </row>
    <row r="14" spans="1:13" ht="28.8" x14ac:dyDescent="0.3">
      <c r="A14" s="1" t="s">
        <v>38</v>
      </c>
      <c r="B14" s="2">
        <v>45511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>
        <v>1</v>
      </c>
      <c r="I14">
        <f t="shared" ca="1" si="0"/>
        <v>438</v>
      </c>
      <c r="L14" s="8" t="s">
        <v>34</v>
      </c>
      <c r="M14" s="9">
        <v>1</v>
      </c>
    </row>
    <row r="15" spans="1:13" ht="28.8" x14ac:dyDescent="0.3">
      <c r="A15" s="1" t="s">
        <v>39</v>
      </c>
      <c r="B15" s="2">
        <v>45511</v>
      </c>
      <c r="C15" s="1" t="s">
        <v>9</v>
      </c>
      <c r="D15" s="1" t="s">
        <v>16</v>
      </c>
      <c r="E15" s="1" t="s">
        <v>17</v>
      </c>
      <c r="F15" s="1" t="s">
        <v>18</v>
      </c>
      <c r="G15" s="1" t="s">
        <v>19</v>
      </c>
      <c r="H15" s="1">
        <v>2</v>
      </c>
      <c r="I15">
        <f t="shared" ca="1" si="0"/>
        <v>438</v>
      </c>
      <c r="L15" s="11" t="s">
        <v>58</v>
      </c>
      <c r="M15" s="12">
        <v>9</v>
      </c>
    </row>
    <row r="16" spans="1:13" ht="28.8" x14ac:dyDescent="0.3">
      <c r="A16" s="1" t="s">
        <v>40</v>
      </c>
      <c r="B16" s="2">
        <v>45512</v>
      </c>
      <c r="C16" s="1" t="s">
        <v>15</v>
      </c>
      <c r="D16" s="1" t="s">
        <v>21</v>
      </c>
      <c r="E16" s="1" t="s">
        <v>22</v>
      </c>
      <c r="F16" s="1" t="s">
        <v>12</v>
      </c>
      <c r="G16" s="1" t="s">
        <v>23</v>
      </c>
      <c r="H16" s="1">
        <v>0</v>
      </c>
      <c r="I16">
        <f t="shared" ca="1" si="0"/>
        <v>437</v>
      </c>
    </row>
    <row r="17" spans="1:14" ht="28.8" x14ac:dyDescent="0.3">
      <c r="A17" s="1" t="s">
        <v>41</v>
      </c>
      <c r="B17" s="2">
        <v>45512</v>
      </c>
      <c r="C17" s="1" t="s">
        <v>9</v>
      </c>
      <c r="D17" s="1" t="s">
        <v>25</v>
      </c>
      <c r="E17" s="1" t="s">
        <v>26</v>
      </c>
      <c r="F17" s="1" t="s">
        <v>27</v>
      </c>
      <c r="G17" s="1" t="s">
        <v>28</v>
      </c>
      <c r="H17" s="1">
        <v>3</v>
      </c>
      <c r="I17">
        <f t="shared" ca="1" si="0"/>
        <v>437</v>
      </c>
    </row>
    <row r="18" spans="1:14" ht="28.8" x14ac:dyDescent="0.3">
      <c r="A18" s="1" t="s">
        <v>42</v>
      </c>
      <c r="B18" s="2">
        <v>45513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0</v>
      </c>
      <c r="I18">
        <f t="shared" ca="1" si="0"/>
        <v>436</v>
      </c>
      <c r="K18" s="6" t="s">
        <v>56</v>
      </c>
      <c r="L18" s="6"/>
      <c r="M18" s="6" t="s">
        <v>29</v>
      </c>
      <c r="N18" s="6">
        <f>COUNTIFS(A2:A30,M18,C2:C30,"Absent")</f>
        <v>1</v>
      </c>
    </row>
    <row r="19" spans="1:14" ht="28.8" x14ac:dyDescent="0.3">
      <c r="A19" s="1" t="s">
        <v>43</v>
      </c>
      <c r="B19" s="2">
        <v>45513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>
        <v>0</v>
      </c>
      <c r="I19">
        <f t="shared" ca="1" si="0"/>
        <v>436</v>
      </c>
    </row>
    <row r="20" spans="1:14" ht="28.8" x14ac:dyDescent="0.3">
      <c r="A20" s="1" t="s">
        <v>44</v>
      </c>
      <c r="B20" s="2">
        <v>45514</v>
      </c>
      <c r="C20" s="1" t="s">
        <v>9</v>
      </c>
      <c r="D20" s="1" t="s">
        <v>21</v>
      </c>
      <c r="E20" s="1" t="s">
        <v>22</v>
      </c>
      <c r="F20" s="1" t="s">
        <v>12</v>
      </c>
      <c r="G20" s="1" t="s">
        <v>23</v>
      </c>
      <c r="H20" s="1">
        <v>1</v>
      </c>
      <c r="I20">
        <f t="shared" ca="1" si="0"/>
        <v>435</v>
      </c>
    </row>
    <row r="21" spans="1:14" ht="28.8" x14ac:dyDescent="0.3">
      <c r="A21" s="1" t="s">
        <v>45</v>
      </c>
      <c r="B21" s="2">
        <v>45514</v>
      </c>
      <c r="C21" s="1" t="s">
        <v>9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2</v>
      </c>
      <c r="I21">
        <f t="shared" ca="1" si="0"/>
        <v>435</v>
      </c>
    </row>
    <row r="22" spans="1:14" ht="28.8" x14ac:dyDescent="0.3">
      <c r="A22" s="1" t="s">
        <v>46</v>
      </c>
      <c r="B22" s="2">
        <v>45515</v>
      </c>
      <c r="C22" s="1" t="s">
        <v>15</v>
      </c>
      <c r="D22" s="1" t="s">
        <v>10</v>
      </c>
      <c r="E22" s="1" t="s">
        <v>11</v>
      </c>
      <c r="F22" s="1" t="s">
        <v>12</v>
      </c>
      <c r="G22" s="1" t="s">
        <v>13</v>
      </c>
      <c r="H22" s="1">
        <v>0</v>
      </c>
      <c r="I22">
        <f t="shared" ca="1" si="0"/>
        <v>435</v>
      </c>
    </row>
    <row r="23" spans="1:14" ht="28.8" x14ac:dyDescent="0.3">
      <c r="A23" s="1" t="s">
        <v>47</v>
      </c>
      <c r="B23" s="2">
        <v>45515</v>
      </c>
      <c r="C23" s="1" t="s">
        <v>9</v>
      </c>
      <c r="D23" s="1" t="s">
        <v>16</v>
      </c>
      <c r="E23" s="1" t="s">
        <v>17</v>
      </c>
      <c r="F23" s="1" t="s">
        <v>18</v>
      </c>
      <c r="G23" s="1" t="s">
        <v>19</v>
      </c>
      <c r="H23" s="1">
        <v>1</v>
      </c>
      <c r="I23">
        <f t="shared" ca="1" si="0"/>
        <v>435</v>
      </c>
    </row>
    <row r="24" spans="1:14" ht="28.8" x14ac:dyDescent="0.3">
      <c r="A24" s="1" t="s">
        <v>48</v>
      </c>
      <c r="B24" s="2">
        <v>45516</v>
      </c>
      <c r="C24" s="1" t="s">
        <v>9</v>
      </c>
      <c r="D24" s="1" t="s">
        <v>21</v>
      </c>
      <c r="E24" s="1" t="s">
        <v>22</v>
      </c>
      <c r="F24" s="1" t="s">
        <v>12</v>
      </c>
      <c r="G24" s="1" t="s">
        <v>23</v>
      </c>
      <c r="H24" s="1">
        <v>3</v>
      </c>
      <c r="I24">
        <f t="shared" ca="1" si="0"/>
        <v>435</v>
      </c>
    </row>
    <row r="25" spans="1:14" ht="28.8" x14ac:dyDescent="0.3">
      <c r="A25" s="1" t="s">
        <v>49</v>
      </c>
      <c r="B25" s="2">
        <v>45516</v>
      </c>
      <c r="C25" s="1" t="s">
        <v>15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0</v>
      </c>
      <c r="I25">
        <f t="shared" ca="1" si="0"/>
        <v>435</v>
      </c>
    </row>
    <row r="26" spans="1:14" ht="28.8" x14ac:dyDescent="0.3">
      <c r="A26" s="1" t="s">
        <v>50</v>
      </c>
      <c r="B26" s="2">
        <v>45517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2</v>
      </c>
      <c r="I26">
        <f t="shared" ca="1" si="0"/>
        <v>434</v>
      </c>
    </row>
    <row r="27" spans="1:14" ht="28.8" x14ac:dyDescent="0.3">
      <c r="A27" s="1" t="s">
        <v>51</v>
      </c>
      <c r="B27" s="2">
        <v>45517</v>
      </c>
      <c r="C27" s="1" t="s">
        <v>9</v>
      </c>
      <c r="D27" s="1" t="s">
        <v>16</v>
      </c>
      <c r="E27" s="1" t="s">
        <v>17</v>
      </c>
      <c r="F27" s="1" t="s">
        <v>18</v>
      </c>
      <c r="G27" s="1" t="s">
        <v>19</v>
      </c>
      <c r="H27" s="1">
        <v>1</v>
      </c>
      <c r="I27">
        <f t="shared" ca="1" si="0"/>
        <v>434</v>
      </c>
    </row>
    <row r="28" spans="1:14" ht="28.8" x14ac:dyDescent="0.3">
      <c r="A28" s="1" t="s">
        <v>52</v>
      </c>
      <c r="B28" s="2">
        <v>45518</v>
      </c>
      <c r="C28" s="1" t="s">
        <v>15</v>
      </c>
      <c r="D28" s="1" t="s">
        <v>21</v>
      </c>
      <c r="E28" s="1" t="s">
        <v>22</v>
      </c>
      <c r="F28" s="1" t="s">
        <v>12</v>
      </c>
      <c r="G28" s="1" t="s">
        <v>23</v>
      </c>
      <c r="H28" s="1">
        <v>0</v>
      </c>
      <c r="I28">
        <f t="shared" ca="1" si="0"/>
        <v>433</v>
      </c>
    </row>
    <row r="29" spans="1:14" ht="28.8" x14ac:dyDescent="0.3">
      <c r="A29" s="1" t="s">
        <v>53</v>
      </c>
      <c r="B29" s="2">
        <v>45518</v>
      </c>
      <c r="C29" s="1" t="s">
        <v>9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2</v>
      </c>
      <c r="I29">
        <f t="shared" ca="1" si="0"/>
        <v>433</v>
      </c>
    </row>
    <row r="30" spans="1:14" ht="28.8" x14ac:dyDescent="0.3">
      <c r="A30" s="1" t="s">
        <v>54</v>
      </c>
      <c r="B30" s="2">
        <v>45519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>
        <v>1</v>
      </c>
      <c r="I30">
        <f t="shared" ca="1" si="0"/>
        <v>432</v>
      </c>
    </row>
  </sheetData>
  <dataValidations count="1">
    <dataValidation type="list" allowBlank="1" showInputMessage="1" showErrorMessage="1" sqref="M18" xr:uid="{7D783E9D-6331-4024-8E36-DA7384646B0C}">
      <formula1>$A$2:$A$30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Employee_Attendance_Tracking</vt:lpstr>
      <vt:lpstr>performed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Prayas</cp:lastModifiedBy>
  <dcterms:created xsi:type="dcterms:W3CDTF">2024-09-09T10:49:38Z</dcterms:created>
  <dcterms:modified xsi:type="dcterms:W3CDTF">2026-04-11T11:14:51Z</dcterms:modified>
</cp:coreProperties>
</file>