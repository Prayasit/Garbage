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raya\OneDrive\Desktop\mock_assesment\"/>
    </mc:Choice>
  </mc:AlternateContent>
  <xr:revisionPtr revIDLastSave="0" documentId="8_{321D5E69-449D-4FE3-9EDE-365957542148}" xr6:coauthVersionLast="47" xr6:coauthVersionMax="47" xr10:uidLastSave="{00000000-0000-0000-0000-000000000000}"/>
  <bookViews>
    <workbookView xWindow="-108" yWindow="-108" windowWidth="23256" windowHeight="12456" xr2:uid="{C231CC79-B7E6-4888-A0F9-622F990A7E50}"/>
  </bookViews>
  <sheets>
    <sheet name="Budget_vs_Actual" sheetId="1" r:id="rId1"/>
  </sheets>
  <calcPr calcId="191029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<sst xmlns="http://schemas.openxmlformats.org/spreadsheetml/2006/main" count="107" uniqueCount="28">
  <si>
    <t>Category</t>
  </si>
  <si>
    <t>Budgeted Expense</t>
  </si>
  <si>
    <t>Actual Expense</t>
  </si>
  <si>
    <t>Variance</t>
  </si>
  <si>
    <t>Department</t>
  </si>
  <si>
    <t>Location</t>
  </si>
  <si>
    <t>Expense Date</t>
  </si>
  <si>
    <t>Approved By</t>
  </si>
  <si>
    <t>Marketing</t>
  </si>
  <si>
    <t>Sales</t>
  </si>
  <si>
    <t>Delhi</t>
  </si>
  <si>
    <t>Ramesh</t>
  </si>
  <si>
    <t>IT</t>
  </si>
  <si>
    <t>Mumbai</t>
  </si>
  <si>
    <t>Priya</t>
  </si>
  <si>
    <t>HR</t>
  </si>
  <si>
    <t>Bangalore</t>
  </si>
  <si>
    <t>Neha</t>
  </si>
  <si>
    <t>Operations</t>
  </si>
  <si>
    <t>Chennai</t>
  </si>
  <si>
    <t>Ravi</t>
  </si>
  <si>
    <t>Amit</t>
  </si>
  <si>
    <t>Finance</t>
  </si>
  <si>
    <t>R&amp;D</t>
  </si>
  <si>
    <t>Logistics</t>
  </si>
  <si>
    <t>total actual expenses</t>
  </si>
  <si>
    <t>Sum of Actual Expense</t>
  </si>
  <si>
    <t>Sum of Budgeted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</si>
</sst>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NumberFormat="1"/>
    <xf numFmtId="0" fontId="2" fillId="3" borderId="2" xfId="1" applyBorder="1" applyAlignment="1">
      <alignment horizontal="center" vertical="center" wrapText="1"/>
    </xf>
    <xf numFmtId="0" fontId="2" fillId="3" borderId="0" xfId="1"/>
    <xf numFmtId="0" fontId="2" fillId="3" borderId="0" xfId="0" applyFont="1" applyFill="1"/>
  </cellXfs>
  <cellStyles count="2">
    <cellStyle name="Good" xfId="1" builtinId="26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vs Actual Expense.xlsx]Budget_vs_Actual!PivotTable3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Budget_vs_Actual!$J$5</c:f>
              <c:strCache>
                <c:ptCount val="1"/>
                <c:pt idx="0">
                  <c:v>Sum of Budgeted 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Budget_vs_Actual!$J$6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Budget_vs_Actual!$J$6</c:f>
              <c:numCache>
                <c:formatCode>General</c:formatCode>
                <c:ptCount val="1"/>
                <c:pt idx="0">
                  <c:v>949000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0-4101-9A2F-3D4A5EE92270}"/>
            </c:ext>
          </c:extLst>
        </c:ser>
        <c:ser>
          <c:idx val="1"/>
          <c:order val="1"/>
          <c:tx>
            <c:strRef>
              <c:f>Budget_vs_Actual!$K$5</c:f>
              <c:strCache>
                <c:ptCount val="1"/>
                <c:pt idx="0">
                  <c:v>Sum of Actual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Budget_vs_Actual!$J$6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Budget_vs_Actual!$K$6</c:f>
              <c:numCache>
                <c:formatCode>General</c:formatCode>
                <c:ptCount val="1"/>
                <c:pt idx="0">
                  <c:v>952000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0-4101-9A2F-3D4A5EE92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653679"/>
        <c:axId val="57652719"/>
      </c:barChart>
      <c:catAx>
        <c:axId val="5765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2719"/>
        <c:crosses val="autoZero"/>
        <c:auto val="1"/>
        <c:lblAlgn val="ctr"/>
        <c:lblOffset val="100"/>
        <c:noMultiLvlLbl val="0"/>
      </c:catAx>
      <c:valAx>
        <c:axId val="5765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6</xdr:row>
      <xdr:rowOff>83820</xdr:rowOff>
    </xdr:from>
    <xdr:to>
      <xdr:col>13</xdr:col>
      <xdr:colOff>495300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6B8A7-7C37-99BC-DA87-FCCF0C6D5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yas" refreshedDate="46123.420147685189" createdVersion="8" refreshedVersion="8" minRefreshableVersion="3" recordCount="24" xr:uid="{A7CB5AE0-E801-488A-AABC-62C1AD86EE9D}">
  <cacheSource type="worksheet">
    <worksheetSource name="table1"/>
  </cacheSource>
  <cacheFields count="8">
    <cacheField name="Category" numFmtId="0">
      <sharedItems/>
    </cacheField>
    <cacheField name="Budgeted Expense" numFmtId="0">
      <sharedItems containsSemiMixedTypes="0" containsString="0" containsNumber="1" containsInteger="1" minValue="20000" maxValue="62000"/>
    </cacheField>
    <cacheField name="Actual Expense" numFmtId="0">
      <sharedItems containsSemiMixedTypes="0" containsString="0" containsNumber="1" containsInteger="1" minValue="21000" maxValue="63000"/>
    </cacheField>
    <cacheField name="Variance" numFmtId="0">
      <sharedItems containsSemiMixedTypes="0" containsString="0" containsNumber="1" containsInteger="1" minValue="-2000" maxValue="1000"/>
    </cacheField>
    <cacheField name="Department" numFmtId="0">
      <sharedItems/>
    </cacheField>
    <cacheField name="Location" numFmtId="0">
      <sharedItems/>
    </cacheField>
    <cacheField name="Expense Date" numFmtId="14">
      <sharedItems containsSemiMixedTypes="0" containsNonDate="0" containsDate="1" containsString="0" minDate="2024-08-01T00:00:00" maxDate="2024-08-25T00:00:00"/>
    </cacheField>
    <cacheField name="Approved 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Marketing"/>
    <n v="50000"/>
    <n v="52000"/>
    <n v="-2000"/>
    <s v="Sales"/>
    <s v="Delhi"/>
    <d v="2024-08-01T00:00:00"/>
    <s v="Ramesh"/>
  </r>
  <r>
    <s v="IT"/>
    <n v="30000"/>
    <n v="29000"/>
    <n v="1000"/>
    <s v="IT"/>
    <s v="Mumbai"/>
    <d v="2024-08-02T00:00:00"/>
    <s v="Priya"/>
  </r>
  <r>
    <s v="HR"/>
    <n v="20000"/>
    <n v="21000"/>
    <n v="-1000"/>
    <s v="HR"/>
    <s v="Bangalore"/>
    <d v="2024-08-03T00:00:00"/>
    <s v="Neha"/>
  </r>
  <r>
    <s v="Operations"/>
    <n v="40000"/>
    <n v="39000"/>
    <n v="1000"/>
    <s v="Operations"/>
    <s v="Chennai"/>
    <d v="2024-08-04T00:00:00"/>
    <s v="Ravi"/>
  </r>
  <r>
    <s v="Sales"/>
    <n v="60000"/>
    <n v="62000"/>
    <n v="-2000"/>
    <s v="Sales"/>
    <s v="Delhi"/>
    <d v="2024-08-05T00:00:00"/>
    <s v="Amit"/>
  </r>
  <r>
    <s v="Finance"/>
    <n v="25000"/>
    <n v="24000"/>
    <n v="1000"/>
    <s v="Finance"/>
    <s v="Mumbai"/>
    <d v="2024-08-06T00:00:00"/>
    <s v="Priya"/>
  </r>
  <r>
    <s v="R&amp;D"/>
    <n v="45000"/>
    <n v="47000"/>
    <n v="-2000"/>
    <s v="R&amp;D"/>
    <s v="Bangalore"/>
    <d v="2024-08-07T00:00:00"/>
    <s v="Ramesh"/>
  </r>
  <r>
    <s v="Logistics"/>
    <n v="35000"/>
    <n v="34000"/>
    <n v="1000"/>
    <s v="Logistics"/>
    <s v="Chennai"/>
    <d v="2024-08-08T00:00:00"/>
    <s v="Neha"/>
  </r>
  <r>
    <s v="Marketing"/>
    <n v="55000"/>
    <n v="54000"/>
    <n v="1000"/>
    <s v="Sales"/>
    <s v="Delhi"/>
    <d v="2024-08-09T00:00:00"/>
    <s v="Priya"/>
  </r>
  <r>
    <s v="IT"/>
    <n v="31000"/>
    <n v="32000"/>
    <n v="-1000"/>
    <s v="IT"/>
    <s v="Mumbai"/>
    <d v="2024-08-10T00:00:00"/>
    <s v="Ravi"/>
  </r>
  <r>
    <s v="HR"/>
    <n v="22000"/>
    <n v="23000"/>
    <n v="-1000"/>
    <s v="HR"/>
    <s v="Bangalore"/>
    <d v="2024-08-11T00:00:00"/>
    <s v="Neha"/>
  </r>
  <r>
    <s v="Operations"/>
    <n v="41000"/>
    <n v="40000"/>
    <n v="1000"/>
    <s v="Operations"/>
    <s v="Chennai"/>
    <d v="2024-08-12T00:00:00"/>
    <s v="Ramesh"/>
  </r>
  <r>
    <s v="Sales"/>
    <n v="61000"/>
    <n v="60000"/>
    <n v="1000"/>
    <s v="Sales"/>
    <s v="Delhi"/>
    <d v="2024-08-13T00:00:00"/>
    <s v="Priya"/>
  </r>
  <r>
    <s v="Finance"/>
    <n v="26000"/>
    <n v="25000"/>
    <n v="1000"/>
    <s v="Finance"/>
    <s v="Mumbai"/>
    <d v="2024-08-14T00:00:00"/>
    <s v="Ramesh"/>
  </r>
  <r>
    <s v="R&amp;D"/>
    <n v="46000"/>
    <n v="48000"/>
    <n v="-2000"/>
    <s v="R&amp;D"/>
    <s v="Bangalore"/>
    <d v="2024-08-15T00:00:00"/>
    <s v="Neha"/>
  </r>
  <r>
    <s v="Logistics"/>
    <n v="36000"/>
    <n v="35000"/>
    <n v="1000"/>
    <s v="Logistics"/>
    <s v="Chennai"/>
    <d v="2024-08-16T00:00:00"/>
    <s v="Priya"/>
  </r>
  <r>
    <s v="Marketing"/>
    <n v="56000"/>
    <n v="55000"/>
    <n v="1000"/>
    <s v="Sales"/>
    <s v="Delhi"/>
    <d v="2024-08-17T00:00:00"/>
    <s v="Ravi"/>
  </r>
  <r>
    <s v="IT"/>
    <n v="32000"/>
    <n v="33000"/>
    <n v="-1000"/>
    <s v="IT"/>
    <s v="Mumbai"/>
    <d v="2024-08-18T00:00:00"/>
    <s v="Ramesh"/>
  </r>
  <r>
    <s v="HR"/>
    <n v="23000"/>
    <n v="24000"/>
    <n v="-1000"/>
    <s v="HR"/>
    <s v="Bangalore"/>
    <d v="2024-08-19T00:00:00"/>
    <s v="Priya"/>
  </r>
  <r>
    <s v="Operations"/>
    <n v="42000"/>
    <n v="41000"/>
    <n v="1000"/>
    <s v="Operations"/>
    <s v="Chennai"/>
    <d v="2024-08-20T00:00:00"/>
    <s v="Neha"/>
  </r>
  <r>
    <s v="Sales"/>
    <n v="62000"/>
    <n v="63000"/>
    <n v="-1000"/>
    <s v="Sales"/>
    <s v="Delhi"/>
    <d v="2024-08-21T00:00:00"/>
    <s v="Ravi"/>
  </r>
  <r>
    <s v="Finance"/>
    <n v="27000"/>
    <n v="26000"/>
    <n v="1000"/>
    <s v="Finance"/>
    <s v="Mumbai"/>
    <d v="2024-08-22T00:00:00"/>
    <s v="Priya"/>
  </r>
  <r>
    <s v="R&amp;D"/>
    <n v="47000"/>
    <n v="49000"/>
    <n v="-2000"/>
    <s v="R&amp;D"/>
    <s v="Bangalore"/>
    <d v="2024-08-23T00:00:00"/>
    <s v="Ramesh"/>
  </r>
  <r>
    <s v="Logistics"/>
    <n v="37000"/>
    <n v="36000"/>
    <n v="1000"/>
    <s v="Logistics"/>
    <s v="Chennai"/>
    <d v="2024-08-24T00:00:00"/>
    <s v="Neh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A0A1D-CF3D-4183-9B5F-2A585567A7A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5:K6" firstHeaderRow="0" firstDataRow="1" firstDataCol="0"/>
  <pivotFields count="8">
    <pivotField showAll="0"/>
    <pivotField dataField="1" showAll="0"/>
    <pivotField dataField="1" showAll="0"/>
    <pivotField showAll="0"/>
    <pivotField showAll="0"/>
    <pivotField showAll="0"/>
    <pivotField numFmtId="14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Budgeted Expense" fld="1" baseField="0" baseItem="0"/>
    <dataField name="Sum of Actual Expense" fld="2" baseField="0" baseItem="0"/>
  </dataFields>
  <formats count="1"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EB9B0-DF34-4693-96F2-8296C29577D3}" name="Table1" displayName="Table1" ref="A1:H25" totalsRowShown="0" headerRowDxfId="4" dataDxfId="5" headerRowBorderDxfId="15" tableBorderDxfId="16" totalsRowBorderDxfId="14">
  <autoFilter ref="A1:H25" xr:uid="{628EB9B0-DF34-4693-96F2-8296C29577D3}"/>
  <tableColumns count="8">
    <tableColumn id="1" xr3:uid="{FAE00229-4F02-4688-B051-4403D8D2682D}" name="Category" dataDxfId="13"/>
    <tableColumn id="2" xr3:uid="{A754D3B1-0E6A-4214-A61C-16C527BD0EBC}" name="Budgeted Expense" dataDxfId="12"/>
    <tableColumn id="3" xr3:uid="{7353392B-AE28-4710-8D4B-405C1BAE4680}" name="Actual Expense" dataDxfId="11"/>
    <tableColumn id="4" xr3:uid="{9BF19161-76E4-4FA6-ADD8-78568160F0FC}" name="Variance" dataDxfId="10"/>
    <tableColumn id="5" xr3:uid="{7236404C-0F6E-4BAA-9941-694DD71A6148}" name="Department" dataDxfId="9"/>
    <tableColumn id="6" xr3:uid="{196CE741-EB8D-48A7-BC84-E316C07802E1}" name="Location" dataDxfId="8"/>
    <tableColumn id="7" xr3:uid="{31DBBBBA-A681-4A64-9C01-22E55CC288AA}" name="Expense Date" dataDxfId="7"/>
    <tableColumn id="8" xr3:uid="{F9261BA6-E3CE-4FD2-81EB-22105F24BB6C}" name="Approved By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491E-F9C6-4E2B-AC34-53041F21EC58}">
  <dimension ref="A1:K25"/>
  <sheetViews>
    <sheetView tabSelected="1" workbookViewId="0">
      <selection activeCell="N4" sqref="N4"/>
    </sheetView>
  </sheetViews>
  <sheetFormatPr defaultRowHeight="14.4" x14ac:dyDescent="0.3"/>
  <cols>
    <col min="1" max="1" width="10.21875" customWidth="1"/>
    <col min="2" max="2" width="18" customWidth="1"/>
    <col min="3" max="3" width="15.44140625" customWidth="1"/>
    <col min="4" max="4" width="10.21875" customWidth="1"/>
    <col min="5" max="5" width="12.88671875" customWidth="1"/>
    <col min="6" max="6" width="10.77734375" customWidth="1"/>
    <col min="7" max="7" width="14" customWidth="1"/>
    <col min="8" max="8" width="13.21875" customWidth="1"/>
    <col min="10" max="10" width="22.44140625" bestFit="1" customWidth="1"/>
    <col min="11" max="11" width="19.77734375" bestFit="1" customWidth="1"/>
  </cols>
  <sheetData>
    <row r="1" spans="1:11" ht="25.95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11" x14ac:dyDescent="0.3">
      <c r="A2" s="3" t="s">
        <v>8</v>
      </c>
      <c r="B2" s="1">
        <v>50000</v>
      </c>
      <c r="C2" s="1">
        <v>52000</v>
      </c>
      <c r="D2" s="1">
        <v>-2000</v>
      </c>
      <c r="E2" s="1" t="s">
        <v>9</v>
      </c>
      <c r="F2" s="1" t="s">
        <v>10</v>
      </c>
      <c r="G2" s="2">
        <v>45505</v>
      </c>
      <c r="H2" s="4" t="s">
        <v>11</v>
      </c>
      <c r="J2" s="13" t="s">
        <v>25</v>
      </c>
      <c r="K2" s="14">
        <f>SUMIF(D2:D25,"&lt;0",C2:C25)</f>
        <v>454000</v>
      </c>
    </row>
    <row r="3" spans="1:11" x14ac:dyDescent="0.3">
      <c r="A3" s="3" t="s">
        <v>12</v>
      </c>
      <c r="B3" s="1">
        <v>30000</v>
      </c>
      <c r="C3" s="1">
        <v>29000</v>
      </c>
      <c r="D3" s="1">
        <v>1000</v>
      </c>
      <c r="E3" s="1" t="s">
        <v>12</v>
      </c>
      <c r="F3" s="1" t="s">
        <v>13</v>
      </c>
      <c r="G3" s="2">
        <v>45506</v>
      </c>
      <c r="H3" s="4" t="s">
        <v>14</v>
      </c>
    </row>
    <row r="4" spans="1:11" x14ac:dyDescent="0.3">
      <c r="A4" s="3" t="s">
        <v>15</v>
      </c>
      <c r="B4" s="1">
        <v>20000</v>
      </c>
      <c r="C4" s="1">
        <v>21000</v>
      </c>
      <c r="D4" s="1">
        <v>-1000</v>
      </c>
      <c r="E4" s="1" t="s">
        <v>15</v>
      </c>
      <c r="F4" s="1" t="s">
        <v>16</v>
      </c>
      <c r="G4" s="2">
        <v>45507</v>
      </c>
      <c r="H4" s="4" t="s">
        <v>17</v>
      </c>
    </row>
    <row r="5" spans="1:11" x14ac:dyDescent="0.3">
      <c r="A5" s="3" t="s">
        <v>18</v>
      </c>
      <c r="B5" s="1">
        <v>40000</v>
      </c>
      <c r="C5" s="1">
        <v>39000</v>
      </c>
      <c r="D5" s="1">
        <v>1000</v>
      </c>
      <c r="E5" s="1" t="s">
        <v>18</v>
      </c>
      <c r="F5" s="1" t="s">
        <v>19</v>
      </c>
      <c r="G5" s="2">
        <v>45508</v>
      </c>
      <c r="H5" s="4" t="s">
        <v>20</v>
      </c>
      <c r="J5" s="15" t="s">
        <v>27</v>
      </c>
      <c r="K5" s="15" t="s">
        <v>26</v>
      </c>
    </row>
    <row r="6" spans="1:11" x14ac:dyDescent="0.3">
      <c r="A6" s="3" t="s">
        <v>9</v>
      </c>
      <c r="B6" s="1">
        <v>60000</v>
      </c>
      <c r="C6" s="1">
        <v>62000</v>
      </c>
      <c r="D6" s="1">
        <v>-2000</v>
      </c>
      <c r="E6" s="1" t="s">
        <v>9</v>
      </c>
      <c r="F6" s="1" t="s">
        <v>10</v>
      </c>
      <c r="G6" s="2">
        <v>45509</v>
      </c>
      <c r="H6" s="4" t="s">
        <v>21</v>
      </c>
      <c r="J6" s="12">
        <v>949000</v>
      </c>
      <c r="K6" s="12">
        <v>952000</v>
      </c>
    </row>
    <row r="7" spans="1:11" x14ac:dyDescent="0.3">
      <c r="A7" s="3" t="s">
        <v>22</v>
      </c>
      <c r="B7" s="1">
        <v>25000</v>
      </c>
      <c r="C7" s="1">
        <v>24000</v>
      </c>
      <c r="D7" s="1">
        <v>1000</v>
      </c>
      <c r="E7" s="1" t="s">
        <v>22</v>
      </c>
      <c r="F7" s="1" t="s">
        <v>13</v>
      </c>
      <c r="G7" s="2">
        <v>45510</v>
      </c>
      <c r="H7" s="4" t="s">
        <v>14</v>
      </c>
    </row>
    <row r="8" spans="1:11" x14ac:dyDescent="0.3">
      <c r="A8" s="3" t="s">
        <v>23</v>
      </c>
      <c r="B8" s="1">
        <v>45000</v>
      </c>
      <c r="C8" s="1">
        <v>47000</v>
      </c>
      <c r="D8" s="1">
        <v>-2000</v>
      </c>
      <c r="E8" s="1" t="s">
        <v>23</v>
      </c>
      <c r="F8" s="1" t="s">
        <v>16</v>
      </c>
      <c r="G8" s="2">
        <v>45511</v>
      </c>
      <c r="H8" s="4" t="s">
        <v>11</v>
      </c>
    </row>
    <row r="9" spans="1:11" x14ac:dyDescent="0.3">
      <c r="A9" s="3" t="s">
        <v>24</v>
      </c>
      <c r="B9" s="1">
        <v>35000</v>
      </c>
      <c r="C9" s="1">
        <v>34000</v>
      </c>
      <c r="D9" s="1">
        <v>1000</v>
      </c>
      <c r="E9" s="1" t="s">
        <v>24</v>
      </c>
      <c r="F9" s="1" t="s">
        <v>19</v>
      </c>
      <c r="G9" s="2">
        <v>45512</v>
      </c>
      <c r="H9" s="4" t="s">
        <v>17</v>
      </c>
    </row>
    <row r="10" spans="1:11" x14ac:dyDescent="0.3">
      <c r="A10" s="3" t="s">
        <v>8</v>
      </c>
      <c r="B10" s="1">
        <v>55000</v>
      </c>
      <c r="C10" s="1">
        <v>54000</v>
      </c>
      <c r="D10" s="1">
        <v>1000</v>
      </c>
      <c r="E10" s="1" t="s">
        <v>9</v>
      </c>
      <c r="F10" s="1" t="s">
        <v>10</v>
      </c>
      <c r="G10" s="2">
        <v>45513</v>
      </c>
      <c r="H10" s="4" t="s">
        <v>14</v>
      </c>
    </row>
    <row r="11" spans="1:11" x14ac:dyDescent="0.3">
      <c r="A11" s="3" t="s">
        <v>12</v>
      </c>
      <c r="B11" s="1">
        <v>31000</v>
      </c>
      <c r="C11" s="1">
        <v>32000</v>
      </c>
      <c r="D11" s="1">
        <v>-1000</v>
      </c>
      <c r="E11" s="1" t="s">
        <v>12</v>
      </c>
      <c r="F11" s="1" t="s">
        <v>13</v>
      </c>
      <c r="G11" s="2">
        <v>45514</v>
      </c>
      <c r="H11" s="4" t="s">
        <v>20</v>
      </c>
    </row>
    <row r="12" spans="1:11" x14ac:dyDescent="0.3">
      <c r="A12" s="3" t="s">
        <v>15</v>
      </c>
      <c r="B12" s="1">
        <v>22000</v>
      </c>
      <c r="C12" s="1">
        <v>23000</v>
      </c>
      <c r="D12" s="1">
        <v>-1000</v>
      </c>
      <c r="E12" s="1" t="s">
        <v>15</v>
      </c>
      <c r="F12" s="1" t="s">
        <v>16</v>
      </c>
      <c r="G12" s="2">
        <v>45515</v>
      </c>
      <c r="H12" s="4" t="s">
        <v>17</v>
      </c>
    </row>
    <row r="13" spans="1:11" ht="28.8" x14ac:dyDescent="0.3">
      <c r="A13" s="3" t="s">
        <v>18</v>
      </c>
      <c r="B13" s="1">
        <v>41000</v>
      </c>
      <c r="C13" s="1">
        <v>40000</v>
      </c>
      <c r="D13" s="1">
        <v>1000</v>
      </c>
      <c r="E13" s="1" t="s">
        <v>18</v>
      </c>
      <c r="F13" s="1" t="s">
        <v>19</v>
      </c>
      <c r="G13" s="2">
        <v>45516</v>
      </c>
      <c r="H13" s="4" t="s">
        <v>11</v>
      </c>
    </row>
    <row r="14" spans="1:11" x14ac:dyDescent="0.3">
      <c r="A14" s="3" t="s">
        <v>9</v>
      </c>
      <c r="B14" s="1">
        <v>61000</v>
      </c>
      <c r="C14" s="1">
        <v>60000</v>
      </c>
      <c r="D14" s="1">
        <v>1000</v>
      </c>
      <c r="E14" s="1" t="s">
        <v>9</v>
      </c>
      <c r="F14" s="1" t="s">
        <v>10</v>
      </c>
      <c r="G14" s="2">
        <v>45517</v>
      </c>
      <c r="H14" s="4" t="s">
        <v>14</v>
      </c>
    </row>
    <row r="15" spans="1:11" x14ac:dyDescent="0.3">
      <c r="A15" s="3" t="s">
        <v>22</v>
      </c>
      <c r="B15" s="1">
        <v>26000</v>
      </c>
      <c r="C15" s="1">
        <v>25000</v>
      </c>
      <c r="D15" s="1">
        <v>1000</v>
      </c>
      <c r="E15" s="1" t="s">
        <v>22</v>
      </c>
      <c r="F15" s="1" t="s">
        <v>13</v>
      </c>
      <c r="G15" s="2">
        <v>45518</v>
      </c>
      <c r="H15" s="4" t="s">
        <v>11</v>
      </c>
    </row>
    <row r="16" spans="1:11" x14ac:dyDescent="0.3">
      <c r="A16" s="3" t="s">
        <v>23</v>
      </c>
      <c r="B16" s="1">
        <v>46000</v>
      </c>
      <c r="C16" s="1">
        <v>48000</v>
      </c>
      <c r="D16" s="1">
        <v>-2000</v>
      </c>
      <c r="E16" s="1" t="s">
        <v>23</v>
      </c>
      <c r="F16" s="1" t="s">
        <v>16</v>
      </c>
      <c r="G16" s="2">
        <v>45519</v>
      </c>
      <c r="H16" s="4" t="s">
        <v>17</v>
      </c>
    </row>
    <row r="17" spans="1:8" x14ac:dyDescent="0.3">
      <c r="A17" s="3" t="s">
        <v>24</v>
      </c>
      <c r="B17" s="1">
        <v>36000</v>
      </c>
      <c r="C17" s="1">
        <v>35000</v>
      </c>
      <c r="D17" s="1">
        <v>1000</v>
      </c>
      <c r="E17" s="1" t="s">
        <v>24</v>
      </c>
      <c r="F17" s="1" t="s">
        <v>19</v>
      </c>
      <c r="G17" s="2">
        <v>45520</v>
      </c>
      <c r="H17" s="4" t="s">
        <v>14</v>
      </c>
    </row>
    <row r="18" spans="1:8" x14ac:dyDescent="0.3">
      <c r="A18" s="3" t="s">
        <v>8</v>
      </c>
      <c r="B18" s="1">
        <v>56000</v>
      </c>
      <c r="C18" s="1">
        <v>55000</v>
      </c>
      <c r="D18" s="1">
        <v>1000</v>
      </c>
      <c r="E18" s="1" t="s">
        <v>9</v>
      </c>
      <c r="F18" s="1" t="s">
        <v>10</v>
      </c>
      <c r="G18" s="2">
        <v>45521</v>
      </c>
      <c r="H18" s="4" t="s">
        <v>20</v>
      </c>
    </row>
    <row r="19" spans="1:8" x14ac:dyDescent="0.3">
      <c r="A19" s="3" t="s">
        <v>12</v>
      </c>
      <c r="B19" s="1">
        <v>32000</v>
      </c>
      <c r="C19" s="1">
        <v>33000</v>
      </c>
      <c r="D19" s="1">
        <v>-1000</v>
      </c>
      <c r="E19" s="1" t="s">
        <v>12</v>
      </c>
      <c r="F19" s="1" t="s">
        <v>13</v>
      </c>
      <c r="G19" s="2">
        <v>45522</v>
      </c>
      <c r="H19" s="4" t="s">
        <v>11</v>
      </c>
    </row>
    <row r="20" spans="1:8" x14ac:dyDescent="0.3">
      <c r="A20" s="3" t="s">
        <v>15</v>
      </c>
      <c r="B20" s="1">
        <v>23000</v>
      </c>
      <c r="C20" s="1">
        <v>24000</v>
      </c>
      <c r="D20" s="1">
        <v>-1000</v>
      </c>
      <c r="E20" s="1" t="s">
        <v>15</v>
      </c>
      <c r="F20" s="1" t="s">
        <v>16</v>
      </c>
      <c r="G20" s="2">
        <v>45523</v>
      </c>
      <c r="H20" s="4" t="s">
        <v>14</v>
      </c>
    </row>
    <row r="21" spans="1:8" ht="28.8" x14ac:dyDescent="0.3">
      <c r="A21" s="3" t="s">
        <v>18</v>
      </c>
      <c r="B21" s="1">
        <v>42000</v>
      </c>
      <c r="C21" s="1">
        <v>41000</v>
      </c>
      <c r="D21" s="1">
        <v>1000</v>
      </c>
      <c r="E21" s="1" t="s">
        <v>18</v>
      </c>
      <c r="F21" s="1" t="s">
        <v>19</v>
      </c>
      <c r="G21" s="2">
        <v>45524</v>
      </c>
      <c r="H21" s="4" t="s">
        <v>17</v>
      </c>
    </row>
    <row r="22" spans="1:8" x14ac:dyDescent="0.3">
      <c r="A22" s="3" t="s">
        <v>9</v>
      </c>
      <c r="B22" s="1">
        <v>62000</v>
      </c>
      <c r="C22" s="1">
        <v>63000</v>
      </c>
      <c r="D22" s="1">
        <v>-1000</v>
      </c>
      <c r="E22" s="1" t="s">
        <v>9</v>
      </c>
      <c r="F22" s="1" t="s">
        <v>10</v>
      </c>
      <c r="G22" s="2">
        <v>45525</v>
      </c>
      <c r="H22" s="4" t="s">
        <v>20</v>
      </c>
    </row>
    <row r="23" spans="1:8" x14ac:dyDescent="0.3">
      <c r="A23" s="3" t="s">
        <v>22</v>
      </c>
      <c r="B23" s="1">
        <v>27000</v>
      </c>
      <c r="C23" s="1">
        <v>26000</v>
      </c>
      <c r="D23" s="1">
        <v>1000</v>
      </c>
      <c r="E23" s="1" t="s">
        <v>22</v>
      </c>
      <c r="F23" s="1" t="s">
        <v>13</v>
      </c>
      <c r="G23" s="2">
        <v>45526</v>
      </c>
      <c r="H23" s="4" t="s">
        <v>14</v>
      </c>
    </row>
    <row r="24" spans="1:8" x14ac:dyDescent="0.3">
      <c r="A24" s="3" t="s">
        <v>23</v>
      </c>
      <c r="B24" s="1">
        <v>47000</v>
      </c>
      <c r="C24" s="1">
        <v>49000</v>
      </c>
      <c r="D24" s="1">
        <v>-2000</v>
      </c>
      <c r="E24" s="1" t="s">
        <v>23</v>
      </c>
      <c r="F24" s="1" t="s">
        <v>16</v>
      </c>
      <c r="G24" s="2">
        <v>45527</v>
      </c>
      <c r="H24" s="4" t="s">
        <v>11</v>
      </c>
    </row>
    <row r="25" spans="1:8" x14ac:dyDescent="0.3">
      <c r="A25" s="8" t="s">
        <v>24</v>
      </c>
      <c r="B25" s="9">
        <v>37000</v>
      </c>
      <c r="C25" s="9">
        <v>36000</v>
      </c>
      <c r="D25" s="9">
        <v>1000</v>
      </c>
      <c r="E25" s="9" t="s">
        <v>24</v>
      </c>
      <c r="F25" s="9" t="s">
        <v>19</v>
      </c>
      <c r="G25" s="10">
        <v>45528</v>
      </c>
      <c r="H25" s="11" t="s">
        <v>17</v>
      </c>
    </row>
  </sheetData>
  <conditionalFormatting sqref="C1:C25">
    <cfRule type="expression" dxfId="1" priority="1">
      <formula>C2:C25 &gt; B2:B25</formula>
    </cfRule>
  </conditionalFormatting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Budget_vs_Actual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Prayas</cp:lastModifiedBy>
  <dcterms:created xsi:type="dcterms:W3CDTF">2024-09-09T10:46:51Z</dcterms:created>
  <dcterms:modified xsi:type="dcterms:W3CDTF">2026-04-11T11:14:06Z</dcterms:modified>
</cp:coreProperties>
</file>